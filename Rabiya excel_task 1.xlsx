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DATA ANALYTICS\EXCEL\Excel task\"/>
    </mc:Choice>
  </mc:AlternateContent>
  <xr:revisionPtr revIDLastSave="0" documentId="13_ncr:1_{CED080E0-9DC0-486B-8537-43B4118632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biya Khan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2" l="1"/>
  <c r="G77" i="12"/>
  <c r="G76" i="12"/>
  <c r="G75" i="12"/>
  <c r="G74" i="12"/>
  <c r="G71" i="12"/>
  <c r="G70" i="12"/>
  <c r="G69" i="12"/>
  <c r="G68" i="12"/>
  <c r="G67" i="12"/>
  <c r="G65" i="12"/>
  <c r="G64" i="12"/>
  <c r="G63" i="12"/>
  <c r="G62" i="12"/>
  <c r="G61" i="12"/>
  <c r="G59" i="12"/>
  <c r="G58" i="12"/>
  <c r="G57" i="12"/>
  <c r="G56" i="12"/>
  <c r="G55" i="12"/>
  <c r="G53" i="12"/>
  <c r="G52" i="12"/>
  <c r="G51" i="12"/>
  <c r="G50" i="12"/>
  <c r="G49" i="12"/>
  <c r="G47" i="12"/>
  <c r="G46" i="12"/>
  <c r="G45" i="12"/>
  <c r="G44" i="12"/>
  <c r="G43" i="12"/>
  <c r="G41" i="12"/>
  <c r="G40" i="12"/>
  <c r="G39" i="12"/>
  <c r="G38" i="12"/>
  <c r="G37" i="12"/>
  <c r="G35" i="12"/>
  <c r="G34" i="12"/>
  <c r="G33" i="12"/>
  <c r="G32" i="12"/>
  <c r="G31" i="12"/>
  <c r="G29" i="12"/>
  <c r="G28" i="12"/>
  <c r="G27" i="12"/>
  <c r="G26" i="12"/>
  <c r="G25" i="12"/>
  <c r="G23" i="12"/>
  <c r="G22" i="12"/>
  <c r="G21" i="12"/>
  <c r="G20" i="12"/>
  <c r="G19" i="12"/>
  <c r="G17" i="12"/>
  <c r="G16" i="12"/>
  <c r="G15" i="12"/>
  <c r="G14" i="12"/>
  <c r="G13" i="12"/>
  <c r="G10" i="12"/>
  <c r="G9" i="12"/>
  <c r="G8" i="12"/>
  <c r="G7" i="12"/>
  <c r="G6" i="12"/>
</calcChain>
</file>

<file path=xl/sharedStrings.xml><?xml version="1.0" encoding="utf-8"?>
<sst xmlns="http://schemas.openxmlformats.org/spreadsheetml/2006/main" count="160" uniqueCount="158">
  <si>
    <t>VALUE</t>
  </si>
  <si>
    <t>FORMULA</t>
  </si>
  <si>
    <t>OUTPUT</t>
  </si>
  <si>
    <t>CONCAT/JOIN</t>
  </si>
  <si>
    <t>Mumbai</t>
  </si>
  <si>
    <t>RIGHT</t>
  </si>
  <si>
    <t>LEFT</t>
  </si>
  <si>
    <t>MID</t>
  </si>
  <si>
    <t>UPPER</t>
  </si>
  <si>
    <t>INDIA</t>
  </si>
  <si>
    <t>JAPAN</t>
  </si>
  <si>
    <t>LOWER</t>
  </si>
  <si>
    <t>PROPER</t>
  </si>
  <si>
    <t>LEN</t>
  </si>
  <si>
    <t>CLEAN</t>
  </si>
  <si>
    <t>FIND</t>
  </si>
  <si>
    <t>EXACT</t>
  </si>
  <si>
    <t>REPLACE</t>
  </si>
  <si>
    <t>SR . NO</t>
  </si>
  <si>
    <t>Data</t>
  </si>
  <si>
    <t>College</t>
  </si>
  <si>
    <t>EXACT(D20,E20)</t>
  </si>
  <si>
    <t>EXACT(D21,E21)</t>
  </si>
  <si>
    <t>EXACT(D22,E22)</t>
  </si>
  <si>
    <t>EXACT(D23,E23)</t>
  </si>
  <si>
    <t>Cloud computing</t>
  </si>
  <si>
    <t>A</t>
  </si>
  <si>
    <t>B</t>
  </si>
  <si>
    <t>RABIYA KHAN</t>
  </si>
  <si>
    <t>TEXT METHOD</t>
  </si>
  <si>
    <t>Milk Bread</t>
  </si>
  <si>
    <t>CLEAN(D6)</t>
  </si>
  <si>
    <t>order#123</t>
  </si>
  <si>
    <t>CLEAN(D7)</t>
  </si>
  <si>
    <t>cafe&amp;pizza</t>
  </si>
  <si>
    <t>CLEAN(D8)</t>
  </si>
  <si>
    <t>charger    -plug</t>
  </si>
  <si>
    <t>CLEAN(D9)</t>
  </si>
  <si>
    <t>AI - ML</t>
  </si>
  <si>
    <t>CLEAN(D10)</t>
  </si>
  <si>
    <t>Chicken</t>
  </si>
  <si>
    <t>Biryani</t>
  </si>
  <si>
    <t>CONCAT(D13,E13)</t>
  </si>
  <si>
    <t>cold</t>
  </si>
  <si>
    <t>coffee</t>
  </si>
  <si>
    <t>CONCAT(D14,E14)</t>
  </si>
  <si>
    <t>pav</t>
  </si>
  <si>
    <t>bhaji</t>
  </si>
  <si>
    <t>CONCAT(D15,E15)</t>
  </si>
  <si>
    <t>Paneer</t>
  </si>
  <si>
    <t>Momos</t>
  </si>
  <si>
    <t>CONCAT(D16,E16)</t>
  </si>
  <si>
    <t>Masala</t>
  </si>
  <si>
    <t>Dosa</t>
  </si>
  <si>
    <t>CONCAT(D17,E17)</t>
  </si>
  <si>
    <t>C</t>
  </si>
  <si>
    <t>mumbai</t>
  </si>
  <si>
    <t>EXACT(D19,E19)</t>
  </si>
  <si>
    <t xml:space="preserve">chai </t>
  </si>
  <si>
    <t>Chai</t>
  </si>
  <si>
    <t>Engineer</t>
  </si>
  <si>
    <t>engineer</t>
  </si>
  <si>
    <t>mentor</t>
  </si>
  <si>
    <t>D</t>
  </si>
  <si>
    <t>CANADA</t>
  </si>
  <si>
    <t>FIND("N",D25)</t>
  </si>
  <si>
    <t>LONDON</t>
  </si>
  <si>
    <t>FIND("D",D26)</t>
  </si>
  <si>
    <t>FIND("N",D27)</t>
  </si>
  <si>
    <t>SOUTH KOREA</t>
  </si>
  <si>
    <t>FIND("K",D28)</t>
  </si>
  <si>
    <t>FIND("I",D29)</t>
  </si>
  <si>
    <t>E</t>
  </si>
  <si>
    <t>Student</t>
  </si>
  <si>
    <t>LEFT(D31,4)</t>
  </si>
  <si>
    <t>Teacher</t>
  </si>
  <si>
    <t>LEFT(D32,3)</t>
  </si>
  <si>
    <t>Library</t>
  </si>
  <si>
    <t>LEFT(D33,5)</t>
  </si>
  <si>
    <t>LEFT(D34,7)</t>
  </si>
  <si>
    <t>Classroom</t>
  </si>
  <si>
    <t>LEFT(D35,5)</t>
  </si>
  <si>
    <t>F</t>
  </si>
  <si>
    <t>Data structure</t>
  </si>
  <si>
    <t>RIGHT(D37,9)</t>
  </si>
  <si>
    <t>Operating system</t>
  </si>
  <si>
    <t>RIGHT(D38,4)</t>
  </si>
  <si>
    <t>RIGHT(D39,9)</t>
  </si>
  <si>
    <t>Artificial intelligence</t>
  </si>
  <si>
    <t>RIGHT(D40,15)</t>
  </si>
  <si>
    <t>Computer network</t>
  </si>
  <si>
    <t>RIGHT(D41,7)</t>
  </si>
  <si>
    <t>G</t>
  </si>
  <si>
    <t>Elephant</t>
  </si>
  <si>
    <t>MID(D43,3,8)</t>
  </si>
  <si>
    <t>Tiger</t>
  </si>
  <si>
    <t>MID(D44,2,5)</t>
  </si>
  <si>
    <t>Giraffe</t>
  </si>
  <si>
    <t>MID(D45,3,6)</t>
  </si>
  <si>
    <t>Dolphin</t>
  </si>
  <si>
    <t>MID(D46,4,7)</t>
  </si>
  <si>
    <t>Penguin</t>
  </si>
  <si>
    <t>MID(D47,1,7)</t>
  </si>
  <si>
    <t>H</t>
  </si>
  <si>
    <t>Shah Rukh Khan</t>
  </si>
  <si>
    <t>LOWER(D49)</t>
  </si>
  <si>
    <t>Leonardo DiCaprio</t>
  </si>
  <si>
    <t>LOWER(D50)</t>
  </si>
  <si>
    <t xml:space="preserve"> ALLU ARJUN</t>
  </si>
  <si>
    <t>LOWER(D51)</t>
  </si>
  <si>
    <t xml:space="preserve"> CHEN zheyuan</t>
  </si>
  <si>
    <t>LOWER(D52)</t>
  </si>
  <si>
    <t>Bilal ABBAS</t>
  </si>
  <si>
    <t>LOWER(D53)</t>
  </si>
  <si>
    <t>I</t>
  </si>
  <si>
    <t>alia bhatt</t>
  </si>
  <si>
    <t>UPPER(D55)</t>
  </si>
  <si>
    <t>Scarlett Johansson</t>
  </si>
  <si>
    <t>UPPER(D56)</t>
  </si>
  <si>
    <t>SAMANTHA prabhu</t>
  </si>
  <si>
    <t>UPPER(D57)</t>
  </si>
  <si>
    <t>Zhao lusi</t>
  </si>
  <si>
    <t>UPPER(D58)</t>
  </si>
  <si>
    <t>hania Amir</t>
  </si>
  <si>
    <t>UPPER(D59)</t>
  </si>
  <si>
    <t>J</t>
  </si>
  <si>
    <t>Virat kohli</t>
  </si>
  <si>
    <t>LEN(D61)</t>
  </si>
  <si>
    <t>Babar Azam</t>
  </si>
  <si>
    <t>LEN(D62)</t>
  </si>
  <si>
    <t>Joe root</t>
  </si>
  <si>
    <t>LEN(D63)</t>
  </si>
  <si>
    <t>Steve smith</t>
  </si>
  <si>
    <t>LEN(D64)</t>
  </si>
  <si>
    <t>Ben stokes</t>
  </si>
  <si>
    <t>LEN(D65)</t>
  </si>
  <si>
    <t>K</t>
  </si>
  <si>
    <t>Indira Gandhi</t>
  </si>
  <si>
    <t>REPLACE(D67,7,12,"shi")</t>
  </si>
  <si>
    <t>Jawaharlal Nehru</t>
  </si>
  <si>
    <t>REPLACE(D68,6,12,"lal")</t>
  </si>
  <si>
    <t>A.P.J Abdul Kalam</t>
  </si>
  <si>
    <t>REPLACE(D69,6,12," kalam")</t>
  </si>
  <si>
    <t>B. R. Ambedkar</t>
  </si>
  <si>
    <t>REPLACE(D70,1,0," ")</t>
  </si>
  <si>
    <t>Pratibha Patil</t>
  </si>
  <si>
    <t>REPLACE(D71,9,12,"@")</t>
  </si>
  <si>
    <t>L</t>
  </si>
  <si>
    <t>avengers endgame</t>
  </si>
  <si>
    <t>PROPER(D74)</t>
  </si>
  <si>
    <t>avatar the way of water</t>
  </si>
  <si>
    <t>PROPER(D75)</t>
  </si>
  <si>
    <t>3 idiots</t>
  </si>
  <si>
    <t>PROPER(D76)</t>
  </si>
  <si>
    <t>train to busan</t>
  </si>
  <si>
    <t>PROPER(D77)</t>
  </si>
  <si>
    <t>all of us are dead</t>
  </si>
  <si>
    <t>PROPER(D78)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</si>
</sst>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2:G81"/>
  <sheetViews>
    <sheetView tabSelected="1" topLeftCell="A14" workbookViewId="0"/>
  </sheetViews>
  <sheetFormatPr defaultColWidth="12.6328125" defaultRowHeight="15.75" customHeight="1" x14ac:dyDescent="0.25"/>
  <cols>
    <col min="2" max="2" width="14.6328125" customWidth="1"/>
    <col min="3" max="3" width="21.90625" customWidth="1"/>
    <col min="4" max="4" width="18.08984375" customWidth="1"/>
    <col min="5" max="5" width="14.6328125" customWidth="1"/>
    <col min="6" max="6" width="23.90625" customWidth="1"/>
    <col min="7" max="7" width="25.08984375" customWidth="1"/>
  </cols>
  <sheetData>
    <row r="2" spans="2:7" ht="15.75" customHeight="1" x14ac:dyDescent="0.25">
      <c r="B2" s="1" t="s">
        <v>28</v>
      </c>
    </row>
    <row r="4" spans="2:7" ht="15.75" customHeight="1" x14ac:dyDescent="0.25">
      <c r="B4" s="2" t="s">
        <v>18</v>
      </c>
      <c r="C4" s="2" t="s">
        <v>29</v>
      </c>
      <c r="D4" s="2" t="s">
        <v>0</v>
      </c>
      <c r="E4" s="2"/>
      <c r="F4" s="2" t="s">
        <v>1</v>
      </c>
      <c r="G4" s="2" t="s">
        <v>2</v>
      </c>
    </row>
    <row r="5" spans="2:7" ht="15.75" customHeight="1" x14ac:dyDescent="0.25">
      <c r="B5" s="3"/>
      <c r="C5" s="3"/>
      <c r="D5" s="3"/>
      <c r="E5" s="3"/>
      <c r="F5" s="3"/>
      <c r="G5" s="3"/>
    </row>
    <row r="6" spans="2:7" ht="15.75" customHeight="1" x14ac:dyDescent="0.25">
      <c r="B6" s="3" t="s">
        <v>26</v>
      </c>
      <c r="C6" s="4" t="s">
        <v>14</v>
      </c>
      <c r="D6" s="3" t="s">
        <v>30</v>
      </c>
      <c r="E6" s="3"/>
      <c r="F6" s="3" t="s">
        <v>31</v>
      </c>
      <c r="G6" s="3" t="str">
        <f t="shared" ref="G6:G10" si="0">CLEAN(D6)</f>
        <v>Milk Bread</v>
      </c>
    </row>
    <row r="7" spans="2:7" ht="15.75" customHeight="1" x14ac:dyDescent="0.25">
      <c r="B7" s="3"/>
      <c r="C7" s="3"/>
      <c r="D7" s="3" t="s">
        <v>32</v>
      </c>
      <c r="E7" s="3"/>
      <c r="F7" s="3" t="s">
        <v>33</v>
      </c>
      <c r="G7" s="3" t="str">
        <f t="shared" si="0"/>
        <v>order#123</v>
      </c>
    </row>
    <row r="8" spans="2:7" ht="15.75" customHeight="1" x14ac:dyDescent="0.25">
      <c r="B8" s="3"/>
      <c r="C8" s="3"/>
      <c r="D8" s="3" t="s">
        <v>34</v>
      </c>
      <c r="E8" s="3"/>
      <c r="F8" s="3" t="s">
        <v>35</v>
      </c>
      <c r="G8" s="3" t="str">
        <f t="shared" si="0"/>
        <v>cafe&amp;pizza</v>
      </c>
    </row>
    <row r="9" spans="2:7" ht="15.75" customHeight="1" x14ac:dyDescent="0.25">
      <c r="B9" s="3"/>
      <c r="C9" s="3"/>
      <c r="D9" s="3" t="s">
        <v>36</v>
      </c>
      <c r="E9" s="3"/>
      <c r="F9" s="3" t="s">
        <v>37</v>
      </c>
      <c r="G9" s="3" t="str">
        <f t="shared" si="0"/>
        <v>charger    -plug</v>
      </c>
    </row>
    <row r="10" spans="2:7" ht="15.75" customHeight="1" x14ac:dyDescent="0.25">
      <c r="B10" s="3"/>
      <c r="C10" s="3"/>
      <c r="D10" s="3" t="s">
        <v>38</v>
      </c>
      <c r="E10" s="3"/>
      <c r="F10" s="3" t="s">
        <v>39</v>
      </c>
      <c r="G10" s="3" t="str">
        <f t="shared" si="0"/>
        <v>AI - ML</v>
      </c>
    </row>
    <row r="11" spans="2:7" ht="15.75" customHeight="1" x14ac:dyDescent="0.25">
      <c r="B11" s="3"/>
      <c r="C11" s="3"/>
      <c r="D11" s="3"/>
      <c r="E11" s="3"/>
      <c r="F11" s="3"/>
      <c r="G11" s="3"/>
    </row>
    <row r="12" spans="2:7" ht="15.75" customHeight="1" x14ac:dyDescent="0.25">
      <c r="B12" s="3"/>
      <c r="C12" s="3"/>
      <c r="D12" s="3"/>
      <c r="E12" s="3"/>
      <c r="F12" s="3"/>
      <c r="G12" s="3"/>
    </row>
    <row r="13" spans="2:7" ht="15.75" customHeight="1" x14ac:dyDescent="0.25">
      <c r="B13" s="3" t="s">
        <v>27</v>
      </c>
      <c r="C13" s="4" t="s">
        <v>3</v>
      </c>
      <c r="D13" s="3" t="s">
        <v>40</v>
      </c>
      <c r="E13" s="3" t="s">
        <v>41</v>
      </c>
      <c r="F13" s="3" t="s">
        <v>42</v>
      </c>
      <c r="G13" s="3" t="e">
        <f t="shared" ref="G13:G17" ca="1" si="1">_xludf.CONCAT(D13,E13)</f>
        <v>#NAME?</v>
      </c>
    </row>
    <row r="14" spans="2:7" ht="15.75" customHeight="1" x14ac:dyDescent="0.25">
      <c r="B14" s="3"/>
      <c r="C14" s="3"/>
      <c r="D14" s="3" t="s">
        <v>43</v>
      </c>
      <c r="E14" s="3" t="s">
        <v>44</v>
      </c>
      <c r="F14" s="3" t="s">
        <v>45</v>
      </c>
      <c r="G14" s="3" t="e">
        <f t="shared" ca="1" si="1"/>
        <v>#NAME?</v>
      </c>
    </row>
    <row r="15" spans="2:7" ht="15.75" customHeight="1" x14ac:dyDescent="0.25">
      <c r="B15" s="3"/>
      <c r="C15" s="3"/>
      <c r="D15" s="3" t="s">
        <v>46</v>
      </c>
      <c r="E15" s="3" t="s">
        <v>47</v>
      </c>
      <c r="F15" s="3" t="s">
        <v>48</v>
      </c>
      <c r="G15" s="3" t="e">
        <f t="shared" ca="1" si="1"/>
        <v>#NAME?</v>
      </c>
    </row>
    <row r="16" spans="2:7" ht="15.75" customHeight="1" x14ac:dyDescent="0.25">
      <c r="B16" s="3"/>
      <c r="C16" s="3"/>
      <c r="D16" s="3" t="s">
        <v>49</v>
      </c>
      <c r="E16" s="3" t="s">
        <v>50</v>
      </c>
      <c r="F16" s="3" t="s">
        <v>51</v>
      </c>
      <c r="G16" s="3" t="e">
        <f t="shared" ca="1" si="1"/>
        <v>#NAME?</v>
      </c>
    </row>
    <row r="17" spans="2:7" ht="15.75" customHeight="1" x14ac:dyDescent="0.25">
      <c r="B17" s="3"/>
      <c r="C17" s="3"/>
      <c r="D17" s="3" t="s">
        <v>52</v>
      </c>
      <c r="E17" s="3" t="s">
        <v>53</v>
      </c>
      <c r="F17" s="3" t="s">
        <v>54</v>
      </c>
      <c r="G17" s="3" t="e">
        <f t="shared" ca="1" si="1"/>
        <v>#NAME?</v>
      </c>
    </row>
    <row r="18" spans="2:7" ht="12.5" x14ac:dyDescent="0.25">
      <c r="B18" s="3"/>
      <c r="C18" s="3"/>
      <c r="D18" s="3"/>
      <c r="E18" s="3"/>
      <c r="F18" s="3"/>
      <c r="G18" s="3"/>
    </row>
    <row r="19" spans="2:7" ht="12.5" x14ac:dyDescent="0.25">
      <c r="B19" s="3" t="s">
        <v>55</v>
      </c>
      <c r="C19" s="4" t="s">
        <v>16</v>
      </c>
      <c r="D19" s="3" t="s">
        <v>4</v>
      </c>
      <c r="E19" s="3" t="s">
        <v>56</v>
      </c>
      <c r="F19" s="3" t="s">
        <v>57</v>
      </c>
      <c r="G19" s="3" t="b">
        <f t="shared" ref="G19:G23" si="2">EXACT(D19,E19)</f>
        <v>0</v>
      </c>
    </row>
    <row r="20" spans="2:7" ht="12.5" x14ac:dyDescent="0.25">
      <c r="B20" s="3"/>
      <c r="C20" s="3"/>
      <c r="D20" s="3" t="s">
        <v>19</v>
      </c>
      <c r="E20" s="3" t="s">
        <v>19</v>
      </c>
      <c r="F20" s="3" t="s">
        <v>21</v>
      </c>
      <c r="G20" s="3" t="b">
        <f t="shared" si="2"/>
        <v>1</v>
      </c>
    </row>
    <row r="21" spans="2:7" ht="12.5" x14ac:dyDescent="0.25">
      <c r="B21" s="3"/>
      <c r="C21" s="3"/>
      <c r="D21" s="3" t="s">
        <v>58</v>
      </c>
      <c r="E21" s="3" t="s">
        <v>59</v>
      </c>
      <c r="F21" s="3" t="s">
        <v>22</v>
      </c>
      <c r="G21" s="3" t="b">
        <f t="shared" si="2"/>
        <v>0</v>
      </c>
    </row>
    <row r="22" spans="2:7" ht="12.5" x14ac:dyDescent="0.25">
      <c r="B22" s="3"/>
      <c r="C22" s="3"/>
      <c r="D22" s="3" t="s">
        <v>60</v>
      </c>
      <c r="E22" s="3" t="s">
        <v>61</v>
      </c>
      <c r="F22" s="3" t="s">
        <v>23</v>
      </c>
      <c r="G22" s="3" t="b">
        <f t="shared" si="2"/>
        <v>0</v>
      </c>
    </row>
    <row r="23" spans="2:7" ht="12.5" x14ac:dyDescent="0.25">
      <c r="B23" s="3"/>
      <c r="C23" s="3"/>
      <c r="D23" s="3" t="s">
        <v>62</v>
      </c>
      <c r="E23" s="3" t="s">
        <v>62</v>
      </c>
      <c r="F23" s="3" t="s">
        <v>24</v>
      </c>
      <c r="G23" s="3" t="b">
        <f t="shared" si="2"/>
        <v>1</v>
      </c>
    </row>
    <row r="24" spans="2:7" ht="12.5" x14ac:dyDescent="0.25">
      <c r="B24" s="3"/>
      <c r="C24" s="3"/>
      <c r="D24" s="3"/>
      <c r="E24" s="3"/>
      <c r="F24" s="3"/>
      <c r="G24" s="3"/>
    </row>
    <row r="25" spans="2:7" ht="12.5" x14ac:dyDescent="0.25">
      <c r="B25" s="3" t="s">
        <v>63</v>
      </c>
      <c r="C25" s="4" t="s">
        <v>15</v>
      </c>
      <c r="D25" s="3" t="s">
        <v>64</v>
      </c>
      <c r="E25" s="3"/>
      <c r="F25" s="3" t="s">
        <v>65</v>
      </c>
      <c r="G25" s="3">
        <f>FIND("N",D25)</f>
        <v>3</v>
      </c>
    </row>
    <row r="26" spans="2:7" ht="12.5" x14ac:dyDescent="0.25">
      <c r="B26" s="3"/>
      <c r="C26" s="3"/>
      <c r="D26" s="3" t="s">
        <v>66</v>
      </c>
      <c r="E26" s="3"/>
      <c r="F26" s="3" t="s">
        <v>67</v>
      </c>
      <c r="G26" s="3">
        <f>FIND("D",D26)</f>
        <v>4</v>
      </c>
    </row>
    <row r="27" spans="2:7" ht="12.5" x14ac:dyDescent="0.25">
      <c r="B27" s="3"/>
      <c r="C27" s="3"/>
      <c r="D27" s="3" t="s">
        <v>10</v>
      </c>
      <c r="E27" s="3"/>
      <c r="F27" s="3" t="s">
        <v>68</v>
      </c>
      <c r="G27" s="3">
        <f>FIND("N",D27)</f>
        <v>5</v>
      </c>
    </row>
    <row r="28" spans="2:7" ht="12.5" x14ac:dyDescent="0.25">
      <c r="B28" s="3"/>
      <c r="C28" s="3"/>
      <c r="D28" s="3" t="s">
        <v>69</v>
      </c>
      <c r="E28" s="3"/>
      <c r="F28" s="3" t="s">
        <v>70</v>
      </c>
      <c r="G28" s="3">
        <f>FIND("K",D28)</f>
        <v>7</v>
      </c>
    </row>
    <row r="29" spans="2:7" ht="12.5" x14ac:dyDescent="0.25">
      <c r="B29" s="3"/>
      <c r="C29" s="3"/>
      <c r="D29" s="3" t="s">
        <v>9</v>
      </c>
      <c r="E29" s="3"/>
      <c r="F29" s="3" t="s">
        <v>71</v>
      </c>
      <c r="G29" s="3">
        <f>FIND("I",D29)</f>
        <v>1</v>
      </c>
    </row>
    <row r="30" spans="2:7" ht="12.5" x14ac:dyDescent="0.25">
      <c r="B30" s="3"/>
      <c r="C30" s="3"/>
      <c r="D30" s="3"/>
      <c r="E30" s="3"/>
      <c r="F30" s="3"/>
      <c r="G30" s="3"/>
    </row>
    <row r="31" spans="2:7" ht="12.5" x14ac:dyDescent="0.25">
      <c r="B31" s="3" t="s">
        <v>72</v>
      </c>
      <c r="C31" s="4" t="s">
        <v>6</v>
      </c>
      <c r="D31" s="3" t="s">
        <v>73</v>
      </c>
      <c r="E31" s="3"/>
      <c r="F31" s="3" t="s">
        <v>74</v>
      </c>
      <c r="G31" s="3" t="str">
        <f>LEFT(D31,4)</f>
        <v>Stud</v>
      </c>
    </row>
    <row r="32" spans="2:7" ht="12.5" x14ac:dyDescent="0.25">
      <c r="B32" s="3"/>
      <c r="C32" s="3"/>
      <c r="D32" s="3" t="s">
        <v>75</v>
      </c>
      <c r="E32" s="3"/>
      <c r="F32" s="3" t="s">
        <v>76</v>
      </c>
      <c r="G32" s="3" t="str">
        <f>LEFT(D32,3)</f>
        <v>Tea</v>
      </c>
    </row>
    <row r="33" spans="2:7" ht="12.5" x14ac:dyDescent="0.25">
      <c r="B33" s="3"/>
      <c r="C33" s="3"/>
      <c r="D33" s="3" t="s">
        <v>77</v>
      </c>
      <c r="E33" s="3"/>
      <c r="F33" s="3" t="s">
        <v>78</v>
      </c>
      <c r="G33" s="3" t="str">
        <f>LEFT(D33,5)</f>
        <v>Libra</v>
      </c>
    </row>
    <row r="34" spans="2:7" ht="12.5" x14ac:dyDescent="0.25">
      <c r="B34" s="3"/>
      <c r="C34" s="3"/>
      <c r="D34" s="3" t="s">
        <v>20</v>
      </c>
      <c r="E34" s="3"/>
      <c r="F34" s="3" t="s">
        <v>79</v>
      </c>
      <c r="G34" s="3" t="str">
        <f>LEFT(D34,7)</f>
        <v>College</v>
      </c>
    </row>
    <row r="35" spans="2:7" ht="12.5" x14ac:dyDescent="0.25">
      <c r="B35" s="3"/>
      <c r="C35" s="3"/>
      <c r="D35" s="3" t="s">
        <v>80</v>
      </c>
      <c r="E35" s="3"/>
      <c r="F35" s="3" t="s">
        <v>81</v>
      </c>
      <c r="G35" s="3" t="str">
        <f>LEFT(D35,5)</f>
        <v>Class</v>
      </c>
    </row>
    <row r="36" spans="2:7" ht="12.5" x14ac:dyDescent="0.25">
      <c r="B36" s="3"/>
      <c r="C36" s="3"/>
      <c r="D36" s="3"/>
      <c r="E36" s="3"/>
      <c r="F36" s="3"/>
      <c r="G36" s="3"/>
    </row>
    <row r="37" spans="2:7" ht="12.5" x14ac:dyDescent="0.25">
      <c r="B37" s="3" t="s">
        <v>82</v>
      </c>
      <c r="C37" s="4" t="s">
        <v>5</v>
      </c>
      <c r="D37" s="3" t="s">
        <v>83</v>
      </c>
      <c r="E37" s="3"/>
      <c r="F37" s="3" t="s">
        <v>84</v>
      </c>
      <c r="G37" s="3" t="str">
        <f>RIGHT(D37,9)</f>
        <v>structure</v>
      </c>
    </row>
    <row r="38" spans="2:7" ht="12.5" x14ac:dyDescent="0.25">
      <c r="B38" s="3"/>
      <c r="C38" s="3"/>
      <c r="D38" s="3" t="s">
        <v>85</v>
      </c>
      <c r="E38" s="3"/>
      <c r="F38" s="3" t="s">
        <v>86</v>
      </c>
      <c r="G38" s="3" t="str">
        <f>RIGHT(D38,4)</f>
        <v>stem</v>
      </c>
    </row>
    <row r="39" spans="2:7" ht="12.5" x14ac:dyDescent="0.25">
      <c r="B39" s="3"/>
      <c r="C39" s="3"/>
      <c r="D39" s="3" t="s">
        <v>25</v>
      </c>
      <c r="E39" s="3"/>
      <c r="F39" s="3" t="s">
        <v>87</v>
      </c>
      <c r="G39" s="3" t="str">
        <f>RIGHT(D39,9)</f>
        <v>computing</v>
      </c>
    </row>
    <row r="40" spans="2:7" ht="12.5" x14ac:dyDescent="0.25">
      <c r="B40" s="3"/>
      <c r="C40" s="3"/>
      <c r="D40" s="3" t="s">
        <v>88</v>
      </c>
      <c r="E40" s="3"/>
      <c r="F40" s="3" t="s">
        <v>89</v>
      </c>
      <c r="G40" s="3" t="str">
        <f>RIGHT(D40,15)</f>
        <v>al intelligence</v>
      </c>
    </row>
    <row r="41" spans="2:7" ht="12.5" x14ac:dyDescent="0.25">
      <c r="B41" s="3"/>
      <c r="C41" s="3"/>
      <c r="D41" s="3" t="s">
        <v>90</v>
      </c>
      <c r="E41" s="3"/>
      <c r="F41" s="3" t="s">
        <v>91</v>
      </c>
      <c r="G41" s="3" t="str">
        <f>RIGHT(D41,7)</f>
        <v>network</v>
      </c>
    </row>
    <row r="42" spans="2:7" ht="12.5" x14ac:dyDescent="0.25">
      <c r="B42" s="3"/>
      <c r="C42" s="3"/>
      <c r="D42" s="3"/>
      <c r="E42" s="3"/>
      <c r="F42" s="3"/>
      <c r="G42" s="3"/>
    </row>
    <row r="43" spans="2:7" ht="12.5" x14ac:dyDescent="0.25">
      <c r="B43" s="3" t="s">
        <v>92</v>
      </c>
      <c r="C43" s="4" t="s">
        <v>7</v>
      </c>
      <c r="D43" s="3" t="s">
        <v>93</v>
      </c>
      <c r="E43" s="3"/>
      <c r="F43" s="3" t="s">
        <v>94</v>
      </c>
      <c r="G43" s="3" t="str">
        <f>MID(D43,3,8)</f>
        <v>ephant</v>
      </c>
    </row>
    <row r="44" spans="2:7" ht="12.5" x14ac:dyDescent="0.25">
      <c r="B44" s="3"/>
      <c r="C44" s="3"/>
      <c r="D44" s="3" t="s">
        <v>95</v>
      </c>
      <c r="E44" s="3"/>
      <c r="F44" s="3" t="s">
        <v>96</v>
      </c>
      <c r="G44" s="3" t="str">
        <f>MID(D44,2,5)</f>
        <v>iger</v>
      </c>
    </row>
    <row r="45" spans="2:7" ht="12.5" x14ac:dyDescent="0.25">
      <c r="B45" s="3"/>
      <c r="C45" s="3"/>
      <c r="D45" s="3" t="s">
        <v>97</v>
      </c>
      <c r="E45" s="3"/>
      <c r="F45" s="3" t="s">
        <v>98</v>
      </c>
      <c r="G45" s="3" t="str">
        <f>MID(D45,3,6)</f>
        <v>raffe</v>
      </c>
    </row>
    <row r="46" spans="2:7" ht="12.5" x14ac:dyDescent="0.25">
      <c r="B46" s="3"/>
      <c r="C46" s="3"/>
      <c r="D46" s="3" t="s">
        <v>99</v>
      </c>
      <c r="E46" s="3"/>
      <c r="F46" s="3" t="s">
        <v>100</v>
      </c>
      <c r="G46" s="3" t="str">
        <f>MID(D46,4,7)</f>
        <v>phin</v>
      </c>
    </row>
    <row r="47" spans="2:7" ht="12.5" x14ac:dyDescent="0.25">
      <c r="B47" s="3"/>
      <c r="C47" s="3"/>
      <c r="D47" s="3" t="s">
        <v>101</v>
      </c>
      <c r="E47" s="3"/>
      <c r="F47" s="3" t="s">
        <v>102</v>
      </c>
      <c r="G47" s="3" t="str">
        <f>MID(D47,1,7)</f>
        <v>Penguin</v>
      </c>
    </row>
    <row r="48" spans="2:7" ht="12.5" x14ac:dyDescent="0.25">
      <c r="B48" s="3"/>
      <c r="C48" s="3"/>
      <c r="D48" s="3"/>
      <c r="E48" s="3"/>
      <c r="F48" s="3"/>
      <c r="G48" s="3"/>
    </row>
    <row r="49" spans="2:7" ht="12.5" x14ac:dyDescent="0.25">
      <c r="B49" s="3" t="s">
        <v>103</v>
      </c>
      <c r="C49" s="5" t="s">
        <v>11</v>
      </c>
      <c r="D49" s="3" t="s">
        <v>104</v>
      </c>
      <c r="E49" s="3"/>
      <c r="F49" s="3" t="s">
        <v>105</v>
      </c>
      <c r="G49" s="3" t="str">
        <f t="shared" ref="G49:G53" si="3">LOWER(D49)</f>
        <v>shah rukh khan</v>
      </c>
    </row>
    <row r="50" spans="2:7" ht="12.5" x14ac:dyDescent="0.25">
      <c r="B50" s="3"/>
      <c r="C50" s="3"/>
      <c r="D50" s="3" t="s">
        <v>106</v>
      </c>
      <c r="E50" s="3"/>
      <c r="F50" s="3" t="s">
        <v>107</v>
      </c>
      <c r="G50" s="3" t="str">
        <f t="shared" si="3"/>
        <v>leonardo dicaprio</v>
      </c>
    </row>
    <row r="51" spans="2:7" ht="12.5" x14ac:dyDescent="0.25">
      <c r="B51" s="3"/>
      <c r="C51" s="3"/>
      <c r="D51" s="3" t="s">
        <v>108</v>
      </c>
      <c r="E51" s="3"/>
      <c r="F51" s="3" t="s">
        <v>109</v>
      </c>
      <c r="G51" s="3" t="str">
        <f t="shared" si="3"/>
        <v xml:space="preserve"> allu arjun</v>
      </c>
    </row>
    <row r="52" spans="2:7" ht="12.5" x14ac:dyDescent="0.25">
      <c r="B52" s="3"/>
      <c r="C52" s="3"/>
      <c r="D52" s="3" t="s">
        <v>110</v>
      </c>
      <c r="E52" s="3"/>
      <c r="F52" s="3" t="s">
        <v>111</v>
      </c>
      <c r="G52" s="3" t="str">
        <f t="shared" si="3"/>
        <v xml:space="preserve"> chen zheyuan</v>
      </c>
    </row>
    <row r="53" spans="2:7" ht="12.5" x14ac:dyDescent="0.25">
      <c r="B53" s="3"/>
      <c r="C53" s="3"/>
      <c r="D53" s="3" t="s">
        <v>112</v>
      </c>
      <c r="E53" s="3"/>
      <c r="F53" s="3" t="s">
        <v>113</v>
      </c>
      <c r="G53" s="3" t="str">
        <f t="shared" si="3"/>
        <v>bilal abbas</v>
      </c>
    </row>
    <row r="54" spans="2:7" ht="12.5" x14ac:dyDescent="0.25">
      <c r="B54" s="3"/>
      <c r="C54" s="3"/>
      <c r="D54" s="3"/>
      <c r="E54" s="3"/>
      <c r="F54" s="3"/>
      <c r="G54" s="3"/>
    </row>
    <row r="55" spans="2:7" ht="12.5" x14ac:dyDescent="0.25">
      <c r="B55" s="3" t="s">
        <v>114</v>
      </c>
      <c r="C55" s="4" t="s">
        <v>8</v>
      </c>
      <c r="D55" s="3" t="s">
        <v>115</v>
      </c>
      <c r="E55" s="3"/>
      <c r="F55" s="3" t="s">
        <v>116</v>
      </c>
      <c r="G55" s="3" t="str">
        <f t="shared" ref="G55:G59" si="4">UPPER(D55)</f>
        <v>ALIA BHATT</v>
      </c>
    </row>
    <row r="56" spans="2:7" ht="12.5" x14ac:dyDescent="0.25">
      <c r="B56" s="3"/>
      <c r="C56" s="3"/>
      <c r="D56" s="3" t="s">
        <v>117</v>
      </c>
      <c r="E56" s="3"/>
      <c r="F56" s="3" t="s">
        <v>118</v>
      </c>
      <c r="G56" s="3" t="str">
        <f t="shared" si="4"/>
        <v>SCARLETT JOHANSSON</v>
      </c>
    </row>
    <row r="57" spans="2:7" ht="12.5" x14ac:dyDescent="0.25">
      <c r="B57" s="3"/>
      <c r="C57" s="3"/>
      <c r="D57" s="3" t="s">
        <v>119</v>
      </c>
      <c r="E57" s="3"/>
      <c r="F57" s="3" t="s">
        <v>120</v>
      </c>
      <c r="G57" s="3" t="str">
        <f t="shared" si="4"/>
        <v>SAMANTHA PRABHU</v>
      </c>
    </row>
    <row r="58" spans="2:7" ht="12.5" x14ac:dyDescent="0.25">
      <c r="B58" s="3"/>
      <c r="C58" s="3"/>
      <c r="D58" s="3" t="s">
        <v>121</v>
      </c>
      <c r="E58" s="3"/>
      <c r="F58" s="3" t="s">
        <v>122</v>
      </c>
      <c r="G58" s="3" t="str">
        <f t="shared" si="4"/>
        <v>ZHAO LUSI</v>
      </c>
    </row>
    <row r="59" spans="2:7" ht="12.5" x14ac:dyDescent="0.25">
      <c r="B59" s="3"/>
      <c r="C59" s="3"/>
      <c r="D59" s="3" t="s">
        <v>123</v>
      </c>
      <c r="E59" s="3"/>
      <c r="F59" s="3" t="s">
        <v>124</v>
      </c>
      <c r="G59" s="3" t="str">
        <f t="shared" si="4"/>
        <v>HANIA AMIR</v>
      </c>
    </row>
    <row r="60" spans="2:7" ht="12.5" x14ac:dyDescent="0.25">
      <c r="B60" s="3"/>
      <c r="C60" s="3"/>
      <c r="D60" s="3"/>
      <c r="E60" s="3"/>
      <c r="F60" s="3"/>
      <c r="G60" s="3"/>
    </row>
    <row r="61" spans="2:7" ht="12.5" x14ac:dyDescent="0.25">
      <c r="B61" s="3" t="s">
        <v>125</v>
      </c>
      <c r="C61" s="4" t="s">
        <v>13</v>
      </c>
      <c r="D61" s="3" t="s">
        <v>126</v>
      </c>
      <c r="E61" s="3"/>
      <c r="F61" s="3" t="s">
        <v>127</v>
      </c>
      <c r="G61" s="3">
        <f t="shared" ref="G61:G65" si="5">LEN(D61)</f>
        <v>11</v>
      </c>
    </row>
    <row r="62" spans="2:7" ht="12.5" x14ac:dyDescent="0.25">
      <c r="B62" s="3"/>
      <c r="C62" s="3"/>
      <c r="D62" s="3" t="s">
        <v>128</v>
      </c>
      <c r="E62" s="3"/>
      <c r="F62" s="3" t="s">
        <v>129</v>
      </c>
      <c r="G62" s="3">
        <f t="shared" si="5"/>
        <v>10</v>
      </c>
    </row>
    <row r="63" spans="2:7" ht="12.5" x14ac:dyDescent="0.25">
      <c r="B63" s="3"/>
      <c r="C63" s="3"/>
      <c r="D63" s="3" t="s">
        <v>130</v>
      </c>
      <c r="E63" s="3"/>
      <c r="F63" s="3" t="s">
        <v>131</v>
      </c>
      <c r="G63" s="3">
        <f t="shared" si="5"/>
        <v>8</v>
      </c>
    </row>
    <row r="64" spans="2:7" ht="12.5" x14ac:dyDescent="0.25">
      <c r="B64" s="3"/>
      <c r="C64" s="3"/>
      <c r="D64" s="3" t="s">
        <v>132</v>
      </c>
      <c r="E64" s="3"/>
      <c r="F64" s="3" t="s">
        <v>133</v>
      </c>
      <c r="G64" s="3">
        <f t="shared" si="5"/>
        <v>11</v>
      </c>
    </row>
    <row r="65" spans="2:7" ht="12.5" x14ac:dyDescent="0.25">
      <c r="B65" s="3"/>
      <c r="C65" s="3"/>
      <c r="D65" s="3" t="s">
        <v>134</v>
      </c>
      <c r="E65" s="3"/>
      <c r="F65" s="3" t="s">
        <v>135</v>
      </c>
      <c r="G65" s="3">
        <f t="shared" si="5"/>
        <v>10</v>
      </c>
    </row>
    <row r="66" spans="2:7" ht="12.5" x14ac:dyDescent="0.25">
      <c r="B66" s="3"/>
      <c r="C66" s="3"/>
      <c r="D66" s="3"/>
      <c r="E66" s="3"/>
      <c r="F66" s="3"/>
      <c r="G66" s="3"/>
    </row>
    <row r="67" spans="2:7" ht="12.5" x14ac:dyDescent="0.25">
      <c r="B67" s="3" t="s">
        <v>136</v>
      </c>
      <c r="C67" s="4" t="s">
        <v>17</v>
      </c>
      <c r="D67" s="3" t="s">
        <v>137</v>
      </c>
      <c r="E67" s="3"/>
      <c r="F67" s="3" t="s">
        <v>138</v>
      </c>
      <c r="G67" s="3" t="str">
        <f>REPLACE(D67,7,12,"shi")</f>
        <v>Indirashi</v>
      </c>
    </row>
    <row r="68" spans="2:7" ht="12.5" x14ac:dyDescent="0.25">
      <c r="B68" s="3"/>
      <c r="C68" s="3"/>
      <c r="D68" s="3" t="s">
        <v>139</v>
      </c>
      <c r="E68" s="3"/>
      <c r="F68" s="3" t="s">
        <v>140</v>
      </c>
      <c r="G68" s="3" t="str">
        <f>REPLACE(D68,6,12,"lal")</f>
        <v>Jawahlal</v>
      </c>
    </row>
    <row r="69" spans="2:7" ht="12.5" x14ac:dyDescent="0.25">
      <c r="B69" s="3"/>
      <c r="C69" s="3"/>
      <c r="D69" s="3" t="s">
        <v>141</v>
      </c>
      <c r="E69" s="3"/>
      <c r="F69" s="3" t="s">
        <v>142</v>
      </c>
      <c r="G69" s="3" t="str">
        <f>REPLACE(D69,6,12," kalam")</f>
        <v>A.P.J kalam</v>
      </c>
    </row>
    <row r="70" spans="2:7" ht="12.5" x14ac:dyDescent="0.25">
      <c r="B70" s="3"/>
      <c r="C70" s="3"/>
      <c r="D70" s="3" t="s">
        <v>143</v>
      </c>
      <c r="E70" s="3"/>
      <c r="F70" s="3" t="s">
        <v>144</v>
      </c>
      <c r="G70" s="3" t="str">
        <f>REPLACE(D70,1,0," ")</f>
        <v xml:space="preserve"> B. R. Ambedkar</v>
      </c>
    </row>
    <row r="71" spans="2:7" ht="12.5" x14ac:dyDescent="0.25">
      <c r="B71" s="3"/>
      <c r="C71" s="3"/>
      <c r="D71" s="3" t="s">
        <v>145</v>
      </c>
      <c r="E71" s="3"/>
      <c r="F71" s="3" t="s">
        <v>146</v>
      </c>
      <c r="G71" s="3" t="str">
        <f>REPLACE(D71,9,12,"@")</f>
        <v>Pratibha@</v>
      </c>
    </row>
    <row r="72" spans="2:7" ht="12.5" x14ac:dyDescent="0.25">
      <c r="B72" s="3"/>
      <c r="C72" s="3"/>
      <c r="D72" s="3"/>
      <c r="E72" s="3"/>
      <c r="F72" s="3"/>
      <c r="G72" s="3"/>
    </row>
    <row r="73" spans="2:7" ht="12.5" x14ac:dyDescent="0.25">
      <c r="B73" s="3"/>
      <c r="C73" s="3"/>
      <c r="D73" s="3"/>
      <c r="E73" s="3"/>
      <c r="F73" s="3"/>
      <c r="G73" s="3"/>
    </row>
    <row r="74" spans="2:7" ht="12.5" x14ac:dyDescent="0.25">
      <c r="B74" s="3" t="s">
        <v>147</v>
      </c>
      <c r="C74" s="4" t="s">
        <v>12</v>
      </c>
      <c r="D74" s="3" t="s">
        <v>148</v>
      </c>
      <c r="E74" s="3"/>
      <c r="F74" s="3" t="s">
        <v>149</v>
      </c>
      <c r="G74" s="3" t="str">
        <f t="shared" ref="G74:G78" si="6">PROPER(D74)</f>
        <v>Avengers Endgame</v>
      </c>
    </row>
    <row r="75" spans="2:7" ht="12.5" x14ac:dyDescent="0.25">
      <c r="B75" s="3"/>
      <c r="C75" s="3"/>
      <c r="D75" s="3" t="s">
        <v>150</v>
      </c>
      <c r="E75" s="3"/>
      <c r="F75" s="3" t="s">
        <v>151</v>
      </c>
      <c r="G75" s="3" t="str">
        <f t="shared" si="6"/>
        <v>Avatar The Way Of Water</v>
      </c>
    </row>
    <row r="76" spans="2:7" ht="12.5" x14ac:dyDescent="0.25">
      <c r="B76" s="3"/>
      <c r="C76" s="3"/>
      <c r="D76" s="3" t="s">
        <v>152</v>
      </c>
      <c r="E76" s="3"/>
      <c r="F76" s="3" t="s">
        <v>153</v>
      </c>
      <c r="G76" s="3" t="str">
        <f t="shared" si="6"/>
        <v>3 Idiots</v>
      </c>
    </row>
    <row r="77" spans="2:7" ht="12.5" x14ac:dyDescent="0.25">
      <c r="B77" s="3"/>
      <c r="C77" s="3"/>
      <c r="D77" s="3" t="s">
        <v>154</v>
      </c>
      <c r="E77" s="3"/>
      <c r="F77" s="3" t="s">
        <v>155</v>
      </c>
      <c r="G77" s="3" t="str">
        <f t="shared" si="6"/>
        <v>Train To Busan</v>
      </c>
    </row>
    <row r="78" spans="2:7" ht="12.5" x14ac:dyDescent="0.25">
      <c r="B78" s="3"/>
      <c r="C78" s="3"/>
      <c r="D78" s="3" t="s">
        <v>156</v>
      </c>
      <c r="E78" s="3"/>
      <c r="F78" s="3" t="s">
        <v>157</v>
      </c>
      <c r="G78" s="3" t="str">
        <f t="shared" si="6"/>
        <v>All Of Us Are Dead</v>
      </c>
    </row>
    <row r="81" spans="4:6" ht="12.5" x14ac:dyDescent="0.25">
      <c r="D81" s="1"/>
      <c r="F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Rabiya Khan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sohed khan</cp:lastModifiedBy>
  <dcterms:modified xsi:type="dcterms:W3CDTF">2026-03-10T17:19:58Z</dcterms:modified>
</cp:coreProperties>
</file>